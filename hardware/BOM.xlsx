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d55e37dd7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ing" sheetId="1" r:id="Rc230abf206fc447b"/>
    <x:sheet xmlns:r="http://schemas.openxmlformats.org/officeDocument/2006/relationships" name="PCB assembly" sheetId="2" r:id="R2c9fa75ca237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&quot;$&quot;0.00"/>
    <x:numFmt numFmtId="203" formatCode="yyyy-mm-dd"/>
  </x:numFmts>
  <x:fonts count="5">
    <x:font>
      <x:sz val="11"/>
      <x:name val="Carlito"/>
    </x:font>
    <x:font>
      <x:sz val="11"/>
      <x:color rgb="FF20262D"/>
      <x:name val="Helvetica"/>
    </x:font>
    <x:font>
      <x:b/>
      <x:sz val="15"/>
      <x:color rgb="FF20262D"/>
      <x:name val="Helvetica"/>
    </x:font>
    <x:font>
      <x:i/>
      <x:sz val="11"/>
      <x:color rgb="FF53606C"/>
      <x:name val="Helvetica"/>
    </x:font>
    <x:font>
      <x:b/>
      <x:sz val="11"/>
      <x:color rgb="FFFFFFFF"/>
      <x:name val="Helvetica"/>
    </x:font>
  </x:fonts>
  <x:fills count="3">
    <x:fill>
      <x:patternFill patternType="none"/>
    </x:fill>
    <x:fill>
      <x:patternFill patternType="gray125"/>
    </x:fill>
    <x:fill>
      <x:patternFill patternType="solid">
        <x:fgColor rgb="FF37455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757a37f9647f3" /><Relationship Type="http://schemas.openxmlformats.org/officeDocument/2006/relationships/theme" Target="/xl/theme/theme1.xml" Id="Rcd92e295a3a54445" /><Relationship Type="http://schemas.openxmlformats.org/officeDocument/2006/relationships/sharedStrings" Target="/xl/sharedStrings.xml" Id="R798018e0fdc143e0" /><Relationship Type="http://schemas.openxmlformats.org/officeDocument/2006/relationships/worksheet" Target="/xl/worksheets/sheet1.xml" Id="Rc230abf206fc447b" /><Relationship Type="http://schemas.openxmlformats.org/officeDocument/2006/relationships/worksheet" Target="/xl/worksheets/sheet2.xml" Id="R2c9fa75ca23740ff" /></Relationships>
</file>

<file path=xl/tables/table1.xml><?xml version="1.0" encoding="utf-8"?>
<x:table xmlns:x="http://schemas.openxmlformats.org/spreadsheetml/2006/main" id="1" name="PurchasingParts" displayName="PurchasingParts" ref="A4:K40" headerRowCount="1" totalsRowCount="0" totalsRowShown="0">
  <x:tableColumns count="11">
    <x:tableColumn id="1" name="ID"/>
    <x:tableColumn id="2" name="Qty"/>
    <x:tableColumn id="3" name="Part"/>
    <x:tableColumn id="4" name="MPN or specification"/>
    <x:tableColumn id="5" name="Unit USD"/>
    <x:tableColumn id="6" name="Line USD"/>
    <x:tableColumn id="7" name="Price basis"/>
    <x:tableColumn id="8" name="Installation"/>
    <x:tableColumn id="9" name="Notes"/>
    <x:tableColumn id="10" name="Source URL"/>
    <x:tableColumn id="11" name="Dat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ssemblyParts" displayName="AssemblyParts" ref="A4:M18" headerRowCount="1" totalsRowCount="0" totalsRowShown="0">
  <x:tableColumns count="13">
    <x:tableColumn id="1" name="References"/>
    <x:tableColumn id="2" name="Qty"/>
    <x:tableColumn id="3" name="Part"/>
    <x:tableColumn id="4" name="Manufacturer"/>
    <x:tableColumn id="5" name="MPN"/>
    <x:tableColumn id="6" name="Package"/>
    <x:tableColumn id="7" name="Unit USD"/>
    <x:tableColumn id="8" name="Line USD"/>
    <x:tableColumn id="9" name="Price basis"/>
    <x:tableColumn id="10" name="Installation"/>
    <x:tableColumn id="11" name="Assembly notes"/>
    <x:tableColumn id="12" name="Source URL"/>
    <x:tableColumn id="13" name="Da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6ac4a6a31a46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57b2ce736d43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8" hidden="0" customWidth="1"/>
    <x:col min="3" max="3" width="42" hidden="0" customWidth="1"/>
    <x:col min="4" max="4" width="45" hidden="0" customWidth="1"/>
    <x:col min="5" max="5" width="12" hidden="0" customWidth="1"/>
    <x:col min="6" max="6" width="12" hidden="0" customWidth="1"/>
    <x:col min="7" max="7" width="22" hidden="0" customWidth="1"/>
    <x:col min="8" max="8" width="22" hidden="0" customWidth="1"/>
    <x:col min="9" max="9" width="70" hidden="0" customWidth="1"/>
    <x:col min="10" max="10" width="80" hidden="0" customWidth="1"/>
    <x:col min="11" max="11" width="14" hidden="0" customWidth="1"/>
  </x:cols>
  <x:sheetData>
    <x:row r="1">
      <x:c r="A1" s="2" t="str">
        <x:v>AirMon purchasing BOM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USD, 2026-09-06. Blank prices require a quote. PCB-side components are listed on the PCB assembly tab.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2" customHeight="1">
      <x:c r="A4" s="6" t="str">
        <x:v>ID</x:v>
      </x:c>
      <x:c r="B4" s="6" t="str">
        <x:v>Qty</x:v>
      </x:c>
      <x:c r="C4" s="6" t="str">
        <x:v>Part</x:v>
      </x:c>
      <x:c r="D4" s="6" t="str">
        <x:v>MPN or specification</x:v>
      </x:c>
      <x:c r="E4" s="6" t="str">
        <x:v>Unit USD</x:v>
      </x:c>
      <x:c r="F4" s="6" t="str">
        <x:v>Line USD</x:v>
      </x:c>
      <x:c r="G4" s="6" t="str">
        <x:v>Price basis</x:v>
      </x:c>
      <x:c r="H4" s="6" t="str">
        <x:v>Installation</x:v>
      </x:c>
      <x:c r="I4" s="6" t="str">
        <x:v>Notes</x:v>
      </x:c>
      <x:c r="J4" s="6" t="str">
        <x:v>Source URL</x:v>
      </x:c>
      <x:c r="K4" s="6" t="str">
        <x:v>Date</x:v>
      </x:c>
    </x:row>
    <x:row r="5" ht="60" customHeight="1">
      <x:c r="A5" s="8" t="str">
        <x:v>DISPLAY</x:v>
      </x:c>
      <x:c r="B5" s="9" t="n">
        <x:v>1</x:v>
      </x:c>
      <x:c r="C5" s="8" t="str">
        <x:v>Keyestudio 2.8-inch ESP32-32E touchscreen</x:v>
      </x:c>
      <x:c r="D5" s="8" t="str">
        <x:v>Keyestudio E32R28T-compatible board</x:v>
      </x:c>
      <x:c r="E5" s="11" t="n">
        <x:v>18.5</x:v>
      </x:c>
      <x:c r="F5" s="11" t="n">
        <x:f>IF(E5="","",B5*E5)</x:f>
        <x:v>18.5</x:v>
      </x:c>
      <x:c r="G5" s="8" t="str">
        <x:v>Listed price</x:v>
      </x:c>
      <x:c r="H5" s="8" t="str">
        <x:v>Required</x:v>
      </x:c>
      <x:c r="I5" s="8" t="str">
        <x:v>Confirm the actual PCB revision and expansion connector before making harnesses</x:v>
      </x:c>
      <x:c r="J5" s="8" t="str">
        <x:v>https://www.keyestudio.com/products/28-inch-esp32-32e-display-screen-lcd-tft-module-with-touch-wroom-for-arduino</x:v>
      </x:c>
      <x:c r="K5" s="12" t="n">
        <x:v>46271.5</x:v>
      </x:c>
    </x:row>
    <x:row r="6" ht="60" customHeight="1">
      <x:c r="A6" s="8" t="str">
        <x:v>PCB</x:v>
      </x:c>
      <x:c r="B6" s="9" t="n">
        <x:v>1</x:v>
      </x:c>
      <x:c r="C6" s="8" t="str">
        <x:v>AirMon two-layer carrier PCB</x:v>
      </x:c>
      <x:c r="D6" s="8" t="str">
        <x:v>airmon r0.1; 42 x 55 x 1.6 mm</x:v>
      </x:c>
      <x:c r="E6" s="11"/>
      <x:c r="F6" s="11" t="str">
        <x:f>IF(E6="","",B6*E6)</x:f>
      </x:c>
      <x:c r="G6" s="8" t="str">
        <x:v>Manufacturer quote</x:v>
      </x:c>
      <x:c r="H6" s="8" t="str">
        <x:v>Required</x:v>
      </x:c>
      <x:c r="I6" s="8" t="str">
        <x:v>Gerber/drill exports; PCBA charges and shipping are additional</x:v>
      </x:c>
      <x:c r="J6" s="8" t="str">
        <x:v>https://www.pcbway.com/</x:v>
      </x:c>
      <x:c r="K6" s="12" t="n">
        <x:v>46271.5</x:v>
      </x:c>
    </x:row>
    <x:row r="7" ht="60" customHeight="1">
      <x:c r="A7" s="8" t="str">
        <x:v>PM</x:v>
      </x:c>
      <x:c r="B7" s="9" t="n">
        <x:v>1</x:v>
      </x:c>
      <x:c r="C7" s="8" t="str">
        <x:v>PM1 / PM2.5 / PM10 module and mating socket</x:v>
      </x:c>
      <x:c r="D7" s="8" t="str">
        <x:v>Plantower PMSA003I; Adafruit 4505</x:v>
      </x:c>
      <x:c r="E7" s="11" t="n">
        <x:v>39.95</x:v>
      </x:c>
      <x:c r="F7" s="11" t="n">
        <x:f>IF(E7="","",B7*E7)</x:f>
        <x:v>39.95</x:v>
      </x:c>
      <x:c r="G7" s="8" t="str">
        <x:v>Listed price</x:v>
      </x:c>
      <x:c r="H7" s="8" t="str">
        <x:v>Optional PM</x:v>
      </x:c>
      <x:c r="I7" s="8" t="str">
        <x:v>Bare I2C module; install supplied J5 socket once, then module is removable</x:v>
      </x:c>
      <x:c r="J7" s="8" t="str">
        <x:v>https://www.adafruit.com/product/4505</x:v>
      </x:c>
      <x:c r="K7" s="12" t="n">
        <x:v>46271.5</x:v>
      </x:c>
    </x:row>
    <x:row r="8" ht="60" customHeight="1">
      <x:c r="A8" s="8" t="str">
        <x:v>CO2</x:v>
      </x:c>
      <x:c r="B8" s="9" t="n">
        <x:v>1</x:v>
      </x:c>
      <x:c r="C8" s="8" t="str">
        <x:v>True CO2 breakout</x:v>
      </x:c>
      <x:c r="D8" s="8" t="str">
        <x:v>Adafruit SCD40 5187</x:v>
      </x:c>
      <x:c r="E8" s="11" t="n">
        <x:v>44.95</x:v>
      </x:c>
      <x:c r="F8" s="11" t="n">
        <x:f>IF(E8="","",B8*E8)</x:f>
        <x:v>44.95</x:v>
      </x:c>
      <x:c r="G8" s="8" t="str">
        <x:v>Listed price</x:v>
      </x:c>
      <x:c r="H8" s="8" t="str">
        <x:v>Optional CO2</x:v>
      </x:c>
      <x:c r="I8" s="8" t="str">
        <x:v>Fits full shell and full sensor frame</x:v>
      </x:c>
      <x:c r="J8" s="8" t="str">
        <x:v>https://www.adafruit.com/product/5187</x:v>
      </x:c>
      <x:c r="K8" s="12" t="n">
        <x:v>46271.5</x:v>
      </x:c>
    </x:row>
    <x:row r="9" ht="60" customHeight="1">
      <x:c r="A9" s="8" t="str">
        <x:v>GAS</x:v>
      </x:c>
      <x:c r="B9" s="9" t="n">
        <x:v>1</x:v>
      </x:c>
      <x:c r="C9" s="8" t="str">
        <x:v>VOC / NOx index breakout</x:v>
      </x:c>
      <x:c r="D9" s="8" t="str">
        <x:v>Adafruit SGP41 6455</x:v>
      </x:c>
      <x:c r="E9" s="11" t="n">
        <x:v>19.95</x:v>
      </x:c>
      <x:c r="F9" s="11" t="n">
        <x:f>IF(E9="","",B9*E9)</x:f>
        <x:v>19.95</x:v>
      </x:c>
      <x:c r="G9" s="8" t="str">
        <x:v>Listed price</x:v>
      </x:c>
      <x:c r="H9" s="8" t="str">
        <x:v>Optional VOC/NOx</x:v>
      </x:c>
      <x:c r="I9" s="8" t="str">
        <x:v>Fits full shell and full sensor frame</x:v>
      </x:c>
      <x:c r="J9" s="8" t="str">
        <x:v>https://www.adafruit.com/product/6455</x:v>
      </x:c>
      <x:c r="K9" s="12" t="n">
        <x:v>46271.5</x:v>
      </x:c>
    </x:row>
    <x:row r="10" ht="60" customHeight="1">
      <x:c r="A10" s="8" t="str">
        <x:v>QT-CO2</x:v>
      </x:c>
      <x:c r="B10" s="9" t="n">
        <x:v>1</x:v>
      </x:c>
      <x:c r="C10" s="8" t="str">
        <x:v>100 mm STEMMA QT cable</x:v>
      </x:c>
      <x:c r="D10" s="8" t="str">
        <x:v>Adafruit 4210</x:v>
      </x:c>
      <x:c r="E10" s="11" t="n">
        <x:v>0.95</x:v>
      </x:c>
      <x:c r="F10" s="11" t="n">
        <x:f>IF(E10="","",B10*E10)</x:f>
        <x:v>0.95</x:v>
      </x:c>
      <x:c r="G10" s="8" t="str">
        <x:v>Estimate</x:v>
      </x:c>
      <x:c r="H10" s="8" t="str">
        <x:v>Optional CO2</x:v>
      </x:c>
      <x:c r="I10" s="8" t="str">
        <x:v>4-pin JST SH cable; verify pin 1 to pin 1 continuity</x:v>
      </x:c>
      <x:c r="J10" s="8" t="str">
        <x:v>https://www.adafruit.com/product/4210</x:v>
      </x:c>
      <x:c r="K10" s="12" t="n">
        <x:v>46271.5</x:v>
      </x:c>
    </x:row>
    <x:row r="11" ht="60" customHeight="1">
      <x:c r="A11" s="8" t="str">
        <x:v>QT-GAS</x:v>
      </x:c>
      <x:c r="B11" s="9" t="n">
        <x:v>1</x:v>
      </x:c>
      <x:c r="C11" s="8" t="str">
        <x:v>100 mm STEMMA QT cable</x:v>
      </x:c>
      <x:c r="D11" s="8" t="str">
        <x:v>Adafruit 4210</x:v>
      </x:c>
      <x:c r="E11" s="11" t="n">
        <x:v>0.95</x:v>
      </x:c>
      <x:c r="F11" s="11" t="n">
        <x:f>IF(E11="","",B11*E11)</x:f>
        <x:v>0.95</x:v>
      </x:c>
      <x:c r="G11" s="8" t="str">
        <x:v>Estimate</x:v>
      </x:c>
      <x:c r="H11" s="8" t="str">
        <x:v>Optional VOC/NOx</x:v>
      </x:c>
      <x:c r="I11" s="8" t="str">
        <x:v>Dedicated cable from J4; route outside antenna keepout</x:v>
      </x:c>
      <x:c r="J11" s="8" t="str">
        <x:v>https://www.adafruit.com/product/4210</x:v>
      </x:c>
      <x:c r="K11" s="12" t="n">
        <x:v>46271.5</x:v>
      </x:c>
    </x:row>
    <x:row r="12" ht="60" customHeight="1">
      <x:c r="A12" s="8" t="str">
        <x:v>H-PWR</x:v>
      </x:c>
      <x:c r="B12" s="9" t="n">
        <x:v>1</x:v>
      </x:c>
      <x:c r="C12" s="8" t="str">
        <x:v>Power-only 100 mm harness</x:v>
      </x:c>
      <x:c r="D12" s="8" t="str">
        <x:v>AM-HARNESS-PWR r0.1</x:v>
      </x:c>
      <x:c r="E12" s="11"/>
      <x:c r="F12" s="11" t="str">
        <x:f>IF(E12="","",B12*E12)</x:f>
      </x:c>
      <x:c r="G12" s="8" t="str">
        <x:v>Quote after connector verification</x:v>
      </x:c>
      <x:c r="H12" s="8" t="str">
        <x:v>Required</x:v>
      </x:c>
      <x:c r="I12" s="8" t="str">
        <x:v>Board UART pin 1 to J1 pin 1; UART pin 2 to J1 pin 2; UART pins 3/4 empty</x:v>
      </x:c>
      <x:c r="J12" s="8" t="str">
        <x:v>https://www.lcdwiki.com/res/E32R28T/2.8inch_ESP32-32_Display_Schematic.pdf</x:v>
      </x:c>
      <x:c r="K12" s="12" t="n">
        <x:v>46271.5</x:v>
      </x:c>
    </x:row>
    <x:row r="13" ht="60" customHeight="1">
      <x:c r="A13" s="8" t="str">
        <x:v>H-I2C</x:v>
      </x:c>
      <x:c r="B13" s="9" t="n">
        <x:v>1</x:v>
      </x:c>
      <x:c r="C13" s="8" t="str">
        <x:v>I2C 100 mm harness</x:v>
      </x:c>
      <x:c r="D13" s="8" t="str">
        <x:v>AM-HARNESS-I2C r0.1</x:v>
      </x:c>
      <x:c r="E13" s="11"/>
      <x:c r="F13" s="11" t="str">
        <x:f>IF(E13="","",B13*E13)</x:f>
      </x:c>
      <x:c r="G13" s="8" t="str">
        <x:v>Quote after connector verification</x:v>
      </x:c>
      <x:c r="H13" s="8" t="str">
        <x:v>Required</x:v>
      </x:c>
      <x:c r="I13" s="8" t="str">
        <x:v>Board SPI pin 2 to J2 pin 1; SPI pin 3 to J2 pin 2; other signal positions empty</x:v>
      </x:c>
      <x:c r="J13" s="8" t="str">
        <x:v>https://www.lcdwiki.com/res/E32R28T/2.8inch_ESP32-32_Display_Schematic.pdf</x:v>
      </x:c>
      <x:c r="K13" s="12" t="n">
        <x:v>46271.5</x:v>
      </x:c>
    </x:row>
    <x:row r="14" ht="60" customHeight="1">
      <x:c r="A14" s="8" t="str">
        <x:v>PH-HOUSING</x:v>
      </x:c>
      <x:c r="B14" s="9" t="n">
        <x:v>2</x:v>
      </x:c>
      <x:c r="C14" s="8" t="str">
        <x:v>Carrier harness mating housing</x:v>
      </x:c>
      <x:c r="D14" s="8" t="str">
        <x:v>JST PHR-2</x:v>
      </x:c>
      <x:c r="E14" s="11" t="n">
        <x:v>0.12</x:v>
      </x:c>
      <x:c r="F14" s="11" t="n">
        <x:f>IF(E14="","",B14*E14)</x:f>
        <x:v>0.24</x:v>
      </x:c>
      <x:c r="G14" s="8" t="str">
        <x:v>Estimate</x:v>
      </x:c>
      <x:c r="H14" s="8" t="str">
        <x:v>Required</x:v>
      </x:c>
      <x:c r="I14" s="8" t="str">
        <x:v>One for each custom harness</x:v>
      </x:c>
      <x:c r="J14" s="8" t="str">
        <x:v>https://www.jst-mfg.com/product/index.php?series=199</x:v>
      </x:c>
      <x:c r="K14" s="12" t="n">
        <x:v>46271.5</x:v>
      </x:c>
    </x:row>
    <x:row r="15" ht="60" customHeight="1">
      <x:c r="A15" s="8" t="str">
        <x:v>PH-CONTACT</x:v>
      </x:c>
      <x:c r="B15" s="9" t="n">
        <x:v>4</x:v>
      </x:c>
      <x:c r="C15" s="8" t="str">
        <x:v>Carrier harness crimp contact</x:v>
      </x:c>
      <x:c r="D15" s="8" t="str">
        <x:v>JST SPH-002T-P0.5S</x:v>
      </x:c>
      <x:c r="E15" s="11" t="n">
        <x:v>0.08</x:v>
      </x:c>
      <x:c r="F15" s="11" t="n">
        <x:f>IF(E15="","",B15*E15)</x:f>
        <x:v>0.32</x:v>
      </x:c>
      <x:c r="G15" s="8" t="str">
        <x:v>Estimate</x:v>
      </x:c>
      <x:c r="H15" s="8" t="str">
        <x:v>Required</x:v>
      </x:c>
      <x:c r="I15" s="8" t="str">
        <x:v>Crimp to 26 AWG stranded wire; use suitable tooling</x:v>
      </x:c>
      <x:c r="J15" s="8" t="str">
        <x:v>https://www.jst-mfg.com/product/index.php?series=199</x:v>
      </x:c>
      <x:c r="K15" s="12" t="n">
        <x:v>46271.5</x:v>
      </x:c>
    </x:row>
    <x:row r="16" ht="60" customHeight="1">
      <x:c r="A16" s="8" t="str">
        <x:v>BOARD-HOUSING</x:v>
      </x:c>
      <x:c r="B16" s="9" t="n">
        <x:v>2</x:v>
      </x:c>
      <x:c r="C16" s="8" t="str">
        <x:v>Board-side 4-position 1.25 mm mating housing</x:v>
      </x:c>
      <x:c r="D16" s="8" t="str">
        <x:v>Pending delivered-board connector identification</x:v>
      </x:c>
      <x:c r="E16" s="11"/>
      <x:c r="F16" s="11" t="str">
        <x:f>IF(E16="","",B16*E16)</x:f>
      </x:c>
      <x:c r="G16" s="8" t="str">
        <x:v>Not yet identified</x:v>
      </x:c>
      <x:c r="H16" s="8" t="str">
        <x:v>Required</x:v>
      </x:c>
      <x:c r="I16" s="8" t="str">
        <x:v>Do not buy a generic JST/Molex housing by pitch alone; use board vendor matching pigtails or confirm connector series</x:v>
      </x:c>
      <x:c r="J16" s="8" t="str">
        <x:v>https://www.lcdwiki.com/2.8inch_ESP32-32E_Display</x:v>
      </x:c>
      <x:c r="K16" s="12" t="n">
        <x:v>46271.5</x:v>
      </x:c>
    </x:row>
    <x:row r="17" ht="60" customHeight="1">
      <x:c r="A17" s="8" t="str">
        <x:v>WIRE</x:v>
      </x:c>
      <x:c r="B17" s="10" t="n">
        <x:v>0.5</x:v>
      </x:c>
      <x:c r="C17" s="8" t="str">
        <x:v>26 AWG stranded hookup wire, total metres</x:v>
      </x:c>
      <x:c r="D17" s="8" t="str">
        <x:v>UL1007 26 AWG; red, black, blue, yellow</x:v>
      </x:c>
      <x:c r="E17" s="11" t="n">
        <x:v>1</x:v>
      </x:c>
      <x:c r="F17" s="11" t="n">
        <x:f>IF(E17="","",B17*E17)</x:f>
        <x:v>0.5</x:v>
      </x:c>
      <x:c r="G17" s="8" t="str">
        <x:v>Estimate per metre</x:v>
      </x:c>
      <x:c r="H17" s="8" t="str">
        <x:v>Required</x:v>
      </x:c>
      <x:c r="I17" s="8" t="str">
        <x:v>Two 100 mm wires per harness plus trimming allowance</x:v>
      </x:c>
      <x:c r="J17" s="8" t="str">
        <x:v>https://www.digikey.com/en/products/filter/single-conductor-cables-hook-up-wire/474</x:v>
      </x:c>
      <x:c r="K17" s="12" t="n">
        <x:v>46271.5</x:v>
      </x:c>
    </x:row>
    <x:row r="18" ht="60" customHeight="1">
      <x:c r="A18" s="8" t="str">
        <x:v>USB-SUPPLY</x:v>
      </x:c>
      <x:c r="B18" s="9" t="n">
        <x:v>1</x:v>
      </x:c>
      <x:c r="C18" s="8" t="str">
        <x:v>5 V 2 A regulated USB-A supply</x:v>
      </x:c>
      <x:c r="D18" s="8" t="str">
        <x:v>Adafruit 1994 or equivalent 5 V 2 A supply</x:v>
      </x:c>
      <x:c r="E18" s="11" t="n">
        <x:v>7.95</x:v>
      </x:c>
      <x:c r="F18" s="11" t="n">
        <x:f>IF(E18="","",B18*E18)</x:f>
        <x:v>7.95</x:v>
      </x:c>
      <x:c r="G18" s="8" t="str">
        <x:v>Estimate</x:v>
      </x:c>
      <x:c r="H18" s="8" t="str">
        <x:v>Required</x:v>
      </x:c>
      <x:c r="I18" s="8" t="str">
        <x:v>USB power only; do not connect a battery</x:v>
      </x:c>
      <x:c r="J18" s="8" t="str">
        <x:v>https://www.adafruit.com/product/1994</x:v>
      </x:c>
      <x:c r="K18" s="12" t="n">
        <x:v>46271.5</x:v>
      </x:c>
    </x:row>
    <x:row r="19" ht="60" customHeight="1">
      <x:c r="A19" s="8" t="str">
        <x:v>USB-CABLE</x:v>
      </x:c>
      <x:c r="B19" s="9" t="n">
        <x:v>1</x:v>
      </x:c>
      <x:c r="C19" s="8" t="str">
        <x:v>USB-A to USB-C data cable, 0.5 m</x:v>
      </x:c>
      <x:c r="D19" s="8" t="str">
        <x:v>USB 2.0 data cable; 5 V / at least 2 A</x:v>
      </x:c>
      <x:c r="E19" s="11" t="n">
        <x:v>4</x:v>
      </x:c>
      <x:c r="F19" s="11" t="n">
        <x:f>IF(E19="","",B19*E19)</x:f>
        <x:v>4</x:v>
      </x:c>
      <x:c r="G19" s="8" t="str">
        <x:v>Estimate</x:v>
      </x:c>
      <x:c r="H19" s="8" t="str">
        <x:v>Required</x:v>
      </x:c>
      <x:c r="I19" s="8" t="str">
        <x:v>A data-capable cable is needed for flashing; use USB-A supply for this board revision</x:v>
      </x:c>
      <x:c r="J19" s="8" t="str">
        <x:v>https://www.adafruit.com/category/473</x:v>
      </x:c>
      <x:c r="K19" s="12" t="n">
        <x:v>46271.5</x:v>
      </x:c>
    </x:row>
    <x:row r="20" ht="60" customHeight="1">
      <x:c r="A20" s="8" t="str">
        <x:v>DISPLAY-SCREW</x:v>
      </x:c>
      <x:c r="B20" s="9" t="n">
        <x:v>4</x:v>
      </x:c>
      <x:c r="C20" s="8" t="str">
        <x:v>M3 x 6 mm socket-head screw</x:v>
      </x:c>
      <x:c r="D20" s="8" t="str">
        <x:v>ISO 4762 M3x6</x:v>
      </x:c>
      <x:c r="E20" s="11" t="n">
        <x:v>0.1</x:v>
      </x:c>
      <x:c r="F20" s="11" t="n">
        <x:f>IF(E20="","",B20*E20)</x:f>
        <x:v>0.4</x:v>
      </x:c>
      <x:c r="G20" s="8" t="str">
        <x:v>Estimate</x:v>
      </x:c>
      <x:c r="H20" s="8" t="str">
        <x:v>Required</x:v>
      </x:c>
      <x:c r="I20" s="8" t="str">
        <x:v>Display board to bezel</x:v>
      </x:c>
      <x:c r="J20" s="8" t="str">
        <x:v>https://www.mcmaster.com/screws/metric-socket-head-screws/</x:v>
      </x:c>
      <x:c r="K20" s="12" t="n">
        <x:v>46271.5</x:v>
      </x:c>
    </x:row>
    <x:row r="21" ht="60" customHeight="1">
      <x:c r="A21" s="8" t="str">
        <x:v>CASE-SCREW-FULL</x:v>
      </x:c>
      <x:c r="B21" s="9" t="n">
        <x:v>4</x:v>
      </x:c>
      <x:c r="C21" s="8" t="str">
        <x:v>M3 x 40 mm socket-head screw</x:v>
      </x:c>
      <x:c r="D21" s="8" t="str">
        <x:v>ISO 4762 M3x40</x:v>
      </x:c>
      <x:c r="E21" s="11" t="n">
        <x:v>0.2</x:v>
      </x:c>
      <x:c r="F21" s="11" t="n">
        <x:f>IF(E21="","",B21*E21)</x:f>
        <x:v>0.8</x:v>
      </x:c>
      <x:c r="G21" s="8" t="str">
        <x:v>Estimate</x:v>
      </x:c>
      <x:c r="H21" s="8" t="str">
        <x:v>Full shell only</x:v>
      </x:c>
      <x:c r="I21" s="8" t="str">
        <x:v>Use two 0.5 mm DIN 433 washers under each head</x:v>
      </x:c>
      <x:c r="J21" s="8" t="str">
        <x:v>https://www.mcmaster.com/screws/metric-socket-head-screws/</x:v>
      </x:c>
      <x:c r="K21" s="12" t="n">
        <x:v>46271.5</x:v>
      </x:c>
    </x:row>
    <x:row r="22" ht="60" customHeight="1">
      <x:c r="A22" s="8" t="str">
        <x:v>CASE-WASHER</x:v>
      </x:c>
      <x:c r="B22" s="9" t="n">
        <x:v>8</x:v>
      </x:c>
      <x:c r="C22" s="8" t="str">
        <x:v>M3 small outside-diameter washer</x:v>
      </x:c>
      <x:c r="D22" s="8" t="str">
        <x:v>DIN 433; ID 3.2 mm, OD 6 mm, thickness 0.5 mm</x:v>
      </x:c>
      <x:c r="E22" s="11" t="n">
        <x:v>0.05</x:v>
      </x:c>
      <x:c r="F22" s="11" t="n">
        <x:f>IF(E22="","",B22*E22)</x:f>
        <x:v>0.4</x:v>
      </x:c>
      <x:c r="G22" s="8" t="str">
        <x:v>Estimate</x:v>
      </x:c>
      <x:c r="H22" s="8" t="str">
        <x:v>Full shell only</x:v>
      </x:c>
      <x:c r="I22" s="8" t="str">
        <x:v>Two per long case screw set the correct thread depth</x:v>
      </x:c>
      <x:c r="J22" s="8" t="str">
        <x:v>https://www.mcmaster.com/washers/metric-washers/</x:v>
      </x:c>
      <x:c r="K22" s="12" t="n">
        <x:v>46271.5</x:v>
      </x:c>
    </x:row>
    <x:row r="23" ht="60" customHeight="1">
      <x:c r="A23" s="8" t="str">
        <x:v>CASE-SCREW-SHALLOW</x:v>
      </x:c>
      <x:c r="B23" s="9" t="n">
        <x:v>4</x:v>
      </x:c>
      <x:c r="C23" s="8" t="str">
        <x:v>M3 x 25 mm socket-head screw</x:v>
      </x:c>
      <x:c r="D23" s="8" t="str">
        <x:v>ISO 4762 M3x25</x:v>
      </x:c>
      <x:c r="E23" s="11" t="n">
        <x:v>0.15</x:v>
      </x:c>
      <x:c r="F23" s="11" t="n">
        <x:f>IF(E23="","",B23*E23)</x:f>
        <x:v>0.6</x:v>
      </x:c>
      <x:c r="G23" s="8" t="str">
        <x:v>Estimate</x:v>
      </x:c>
      <x:c r="H23" s="8" t="str">
        <x:v>Shallow shell only</x:v>
      </x:c>
      <x:c r="I23" s="8" t="str">
        <x:v>No case washers required</x:v>
      </x:c>
      <x:c r="J23" s="8" t="str">
        <x:v>https://www.mcmaster.com/screws/metric-socket-head-screws/</x:v>
      </x:c>
      <x:c r="K23" s="12" t="n">
        <x:v>46271.5</x:v>
      </x:c>
    </x:row>
    <x:row r="24" ht="60" customHeight="1">
      <x:c r="A24" s="8" t="str">
        <x:v>M3-NUT</x:v>
      </x:c>
      <x:c r="B24" s="9" t="n">
        <x:v>8</x:v>
      </x:c>
      <x:c r="C24" s="8" t="str">
        <x:v>M3 hex nut</x:v>
      </x:c>
      <x:c r="D24" s="8" t="str">
        <x:v>ISO 4032 / DIN 934 M3</x:v>
      </x:c>
      <x:c r="E24" s="11" t="n">
        <x:v>0.05</x:v>
      </x:c>
      <x:c r="F24" s="11" t="n">
        <x:f>IF(E24="","",B24*E24)</x:f>
        <x:v>0.4</x:v>
      </x:c>
      <x:c r="G24" s="8" t="str">
        <x:v>Estimate</x:v>
      </x:c>
      <x:c r="H24" s="8" t="str">
        <x:v>Required</x:v>
      </x:c>
      <x:c r="I24" s="8" t="str">
        <x:v>Four display nuts and four enclosure closure nuts</x:v>
      </x:c>
      <x:c r="J24" s="8" t="str">
        <x:v>https://www.mcmaster.com/nuts/metric-hex-nuts/</x:v>
      </x:c>
      <x:c r="K24" s="12" t="n">
        <x:v>46271.5</x:v>
      </x:c>
    </x:row>
    <x:row r="25" ht="60" customHeight="1">
      <x:c r="A25" s="8" t="str">
        <x:v>MOUNT-SCREW</x:v>
      </x:c>
      <x:c r="B25" s="9" t="n">
        <x:v>4</x:v>
      </x:c>
      <x:c r="C25" s="8" t="str">
        <x:v>M2 x 6 mm socket-head screw</x:v>
      </x:c>
      <x:c r="D25" s="8" t="str">
        <x:v>ISO 4762 M2x6</x:v>
      </x:c>
      <x:c r="E25" s="11" t="n">
        <x:v>0.1</x:v>
      </x:c>
      <x:c r="F25" s="11" t="n">
        <x:f>IF(E25="","",B25*E25)</x:f>
        <x:v>0.4</x:v>
      </x:c>
      <x:c r="G25" s="8" t="str">
        <x:v>Estimate</x:v>
      </x:c>
      <x:c r="H25" s="8" t="str">
        <x:v>Required</x:v>
      </x:c>
      <x:c r="I25" s="8" t="str">
        <x:v>Removable sensor frame to rear shell</x:v>
      </x:c>
      <x:c r="J25" s="8" t="str">
        <x:v>https://www.mcmaster.com/screws/metric-socket-head-screws/</x:v>
      </x:c>
      <x:c r="K25" s="12" t="n">
        <x:v>46271.5</x:v>
      </x:c>
    </x:row>
    <x:row r="26" ht="60" customHeight="1">
      <x:c r="A26" s="8" t="str">
        <x:v>CARRIER-SCREW</x:v>
      </x:c>
      <x:c r="B26" s="9" t="n">
        <x:v>2</x:v>
      </x:c>
      <x:c r="C26" s="8" t="str">
        <x:v>M2 x 5 mm socket-head screw</x:v>
      </x:c>
      <x:c r="D26" s="8" t="str">
        <x:v>ISO 4762 M2x5</x:v>
      </x:c>
      <x:c r="E26" s="11" t="n">
        <x:v>0.1</x:v>
      </x:c>
      <x:c r="F26" s="11" t="n">
        <x:f>IF(E26="","",B26*E26)</x:f>
        <x:v>0.2</x:v>
      </x:c>
      <x:c r="G26" s="8" t="str">
        <x:v>Estimate</x:v>
      </x:c>
      <x:c r="H26" s="8" t="str">
        <x:v>Required</x:v>
      </x:c>
      <x:c r="I26" s="8" t="str">
        <x:v>Carrier PCB to removable frame, fitted from the component underside</x:v>
      </x:c>
      <x:c r="J26" s="8" t="str">
        <x:v>https://www.mcmaster.com/screws/metric-socket-head-screws/</x:v>
      </x:c>
      <x:c r="K26" s="12" t="n">
        <x:v>46271.5</x:v>
      </x:c>
    </x:row>
    <x:row r="27" ht="60" customHeight="1">
      <x:c r="A27" s="8" t="str">
        <x:v>M2-NUT</x:v>
      </x:c>
      <x:c r="B27" s="9" t="n">
        <x:v>6</x:v>
      </x:c>
      <x:c r="C27" s="8" t="str">
        <x:v>M2 hex nut</x:v>
      </x:c>
      <x:c r="D27" s="8" t="str">
        <x:v>ISO 4032 / DIN 934 M2</x:v>
      </x:c>
      <x:c r="E27" s="11" t="n">
        <x:v>0.05</x:v>
      </x:c>
      <x:c r="F27" s="11" t="n">
        <x:f>IF(E27="","",B27*E27)</x:f>
        <x:v>0.30000000000000004</x:v>
      </x:c>
      <x:c r="G27" s="8" t="str">
        <x:v>Estimate</x:v>
      </x:c>
      <x:c r="H27" s="8" t="str">
        <x:v>Required</x:v>
      </x:c>
      <x:c r="I27" s="8" t="str">
        <x:v>Four frame nuts and two carrier nuts</x:v>
      </x:c>
      <x:c r="J27" s="8" t="str">
        <x:v>https://www.mcmaster.com/nuts/metric-hex-nuts/</x:v>
      </x:c>
      <x:c r="K27" s="12" t="n">
        <x:v>46271.5</x:v>
      </x:c>
    </x:row>
    <x:row r="28" ht="60" customHeight="1">
      <x:c r="A28" s="8" t="str">
        <x:v>CO2-SCREW</x:v>
      </x:c>
      <x:c r="B28" s="9" t="n">
        <x:v>4</x:v>
      </x:c>
      <x:c r="C28" s="8" t="str">
        <x:v>M2.5 x 6 mm socket-head screw</x:v>
      </x:c>
      <x:c r="D28" s="8" t="str">
        <x:v>ISO 4762 M2.5x6</x:v>
      </x:c>
      <x:c r="E28" s="11" t="n">
        <x:v>0.1</x:v>
      </x:c>
      <x:c r="F28" s="11" t="n">
        <x:f>IF(E28="","",B28*E28)</x:f>
        <x:v>0.4</x:v>
      </x:c>
      <x:c r="G28" s="8" t="str">
        <x:v>Estimate</x:v>
      </x:c>
      <x:c r="H28" s="8" t="str">
        <x:v>Optional CO2</x:v>
      </x:c>
      <x:c r="I28" s="8" t="str">
        <x:v>Breakout to full sensor frame</x:v>
      </x:c>
      <x:c r="J28" s="8" t="str">
        <x:v>https://www.mcmaster.com/screws/metric-socket-head-screws/</x:v>
      </x:c>
      <x:c r="K28" s="12" t="n">
        <x:v>46271.5</x:v>
      </x:c>
    </x:row>
    <x:row r="29" ht="60" customHeight="1">
      <x:c r="A29" s="8" t="str">
        <x:v>CO2-NUT</x:v>
      </x:c>
      <x:c r="B29" s="9" t="n">
        <x:v>4</x:v>
      </x:c>
      <x:c r="C29" s="8" t="str">
        <x:v>M2.5 hex nut</x:v>
      </x:c>
      <x:c r="D29" s="8" t="str">
        <x:v>ISO 4032 / DIN 934 M2.5</x:v>
      </x:c>
      <x:c r="E29" s="11" t="n">
        <x:v>0.05</x:v>
      </x:c>
      <x:c r="F29" s="11" t="n">
        <x:f>IF(E29="","",B29*E29)</x:f>
        <x:v>0.2</x:v>
      </x:c>
      <x:c r="G29" s="8" t="str">
        <x:v>Estimate</x:v>
      </x:c>
      <x:c r="H29" s="8" t="str">
        <x:v>Optional CO2</x:v>
      </x:c>
      <x:c r="I29" s="8" t="str">
        <x:v>Captive nut in printed frame</x:v>
      </x:c>
      <x:c r="J29" s="8" t="str">
        <x:v>https://www.mcmaster.com/nuts/metric-hex-nuts/</x:v>
      </x:c>
      <x:c r="K29" s="12" t="n">
        <x:v>46271.5</x:v>
      </x:c>
    </x:row>
    <x:row r="30" ht="60" customHeight="1">
      <x:c r="A30" s="8" t="str">
        <x:v>GAS-SCREW</x:v>
      </x:c>
      <x:c r="B30" s="9" t="n">
        <x:v>4</x:v>
      </x:c>
      <x:c r="C30" s="8" t="str">
        <x:v>M2.5 x 6 mm socket-head screw</x:v>
      </x:c>
      <x:c r="D30" s="8" t="str">
        <x:v>ISO 4762 M2.5x6</x:v>
      </x:c>
      <x:c r="E30" s="11" t="n">
        <x:v>0.1</x:v>
      </x:c>
      <x:c r="F30" s="11" t="n">
        <x:f>IF(E30="","",B30*E30)</x:f>
        <x:v>0.4</x:v>
      </x:c>
      <x:c r="G30" s="8" t="str">
        <x:v>Estimate</x:v>
      </x:c>
      <x:c r="H30" s="8" t="str">
        <x:v>Optional VOC/NOx</x:v>
      </x:c>
      <x:c r="I30" s="8" t="str">
        <x:v>Breakout to full sensor frame</x:v>
      </x:c>
      <x:c r="J30" s="8" t="str">
        <x:v>https://www.mcmaster.com/screws/metric-socket-head-screws/</x:v>
      </x:c>
      <x:c r="K30" s="12" t="n">
        <x:v>46271.5</x:v>
      </x:c>
    </x:row>
    <x:row r="31" ht="60" customHeight="1">
      <x:c r="A31" s="8" t="str">
        <x:v>GAS-NUT</x:v>
      </x:c>
      <x:c r="B31" s="9" t="n">
        <x:v>4</x:v>
      </x:c>
      <x:c r="C31" s="8" t="str">
        <x:v>M2.5 hex nut</x:v>
      </x:c>
      <x:c r="D31" s="8" t="str">
        <x:v>ISO 4032 / DIN 934 M2.5</x:v>
      </x:c>
      <x:c r="E31" s="11" t="n">
        <x:v>0.05</x:v>
      </x:c>
      <x:c r="F31" s="11" t="n">
        <x:f>IF(E31="","",B31*E31)</x:f>
        <x:v>0.2</x:v>
      </x:c>
      <x:c r="G31" s="8" t="str">
        <x:v>Estimate</x:v>
      </x:c>
      <x:c r="H31" s="8" t="str">
        <x:v>Optional VOC/NOx</x:v>
      </x:c>
      <x:c r="I31" s="8" t="str">
        <x:v>Captive nut in printed frame</x:v>
      </x:c>
      <x:c r="J31" s="8" t="str">
        <x:v>https://www.mcmaster.com/nuts/metric-hex-nuts/</x:v>
      </x:c>
      <x:c r="K31" s="12" t="n">
        <x:v>46271.5</x:v>
      </x:c>
    </x:row>
    <x:row r="32" ht="60" customHeight="1">
      <x:c r="A32" s="8" t="str">
        <x:v>FOAM</x:v>
      </x:c>
      <x:c r="B32" s="10" t="n">
        <x:v>0.1</x:v>
      </x:c>
      <x:c r="C32" s="8" t="str">
        <x:v>Low-odor closed-cell PE foam gasket tape, metres</x:v>
      </x:c>
      <x:c r="D32" s="8" t="str">
        <x:v>0.5 mm thick, 3 mm wide; no sensor coatings</x:v>
      </x:c>
      <x:c r="E32" s="11" t="n">
        <x:v>1</x:v>
      </x:c>
      <x:c r="F32" s="11" t="n">
        <x:f>IF(E32="","",B32*E32)</x:f>
        <x:v>0.1</x:v>
      </x:c>
      <x:c r="G32" s="8" t="str">
        <x:v>Estimate per metre</x:v>
      </x:c>
      <x:c r="H32" s="8" t="str">
        <x:v>Optional PM</x:v>
      </x:c>
      <x:c r="I32" s="8" t="str">
        <x:v>Seal both duct interfaces and cushion retaining lips; trim clear of all air ports</x:v>
      </x:c>
      <x:c r="J32" s="8" t="str">
        <x:v>https://www.mcmaster.com/foam/</x:v>
      </x:c>
      <x:c r="K32" s="12" t="n">
        <x:v>46271.5</x:v>
      </x:c>
    </x:row>
    <x:row r="33" ht="60" customHeight="1">
      <x:c r="A33" s="8" t="str">
        <x:v>TIES</x:v>
      </x:c>
      <x:c r="B33" s="9" t="n">
        <x:v>4</x:v>
      </x:c>
      <x:c r="C33" s="8" t="str">
        <x:v>Small nylon cable tie</x:v>
      </x:c>
      <x:c r="D33" s="8" t="str">
        <x:v>2.5 mm width x 100 mm</x:v>
      </x:c>
      <x:c r="E33" s="11" t="n">
        <x:v>0.05</x:v>
      </x:c>
      <x:c r="F33" s="11" t="n">
        <x:f>IF(E33="","",B33*E33)</x:f>
        <x:v>0.2</x:v>
      </x:c>
      <x:c r="G33" s="8" t="str">
        <x:v>Estimate</x:v>
      </x:c>
      <x:c r="H33" s="8" t="str">
        <x:v>Required</x:v>
      </x:c>
      <x:c r="I33" s="8" t="str">
        <x:v>Secure slack to the removable frame, avoiding sensor vents and antenna</x:v>
      </x:c>
      <x:c r="J33" s="8" t="str">
        <x:v>https://www.mcmaster.com/cable-ties/</x:v>
      </x:c>
      <x:c r="K33" s="12" t="n">
        <x:v>46271.5</x:v>
      </x:c>
    </x:row>
    <x:row r="34" ht="60" customHeight="1">
      <x:c r="A34" s="8" t="str">
        <x:v>FEET</x:v>
      </x:c>
      <x:c r="B34" s="9" t="n">
        <x:v>4</x:v>
      </x:c>
      <x:c r="C34" s="8" t="str">
        <x:v>Self-adhesive silicone foot</x:v>
      </x:c>
      <x:c r="D34" s="8" t="str">
        <x:v>8 mm diameter x 2 mm</x:v>
      </x:c>
      <x:c r="E34" s="11" t="n">
        <x:v>0.1</x:v>
      </x:c>
      <x:c r="F34" s="11" t="n">
        <x:f>IF(E34="","",B34*E34)</x:f>
        <x:v>0.4</x:v>
      </x:c>
      <x:c r="G34" s="8" t="str">
        <x:v>Estimate</x:v>
      </x:c>
      <x:c r="H34" s="8" t="str">
        <x:v>Required</x:v>
      </x:c>
      <x:c r="I34" s="8" t="str">
        <x:v>Under the desktop stand</x:v>
      </x:c>
      <x:c r="J34" s="8" t="str">
        <x:v>https://www.mcmaster.com/bumper-feet/</x:v>
      </x:c>
      <x:c r="K34" s="12" t="n">
        <x:v>46271.5</x:v>
      </x:c>
    </x:row>
    <x:row r="35" ht="60" customHeight="1">
      <x:c r="A35" s="8" t="str">
        <x:v>PLA</x:v>
      </x:c>
      <x:c r="B35" s="10" t="n">
        <x:v>0.16</x:v>
      </x:c>
      <x:c r="C35" s="8" t="str">
        <x:v>PLA filament allowance, kilograms</x:v>
      </x:c>
      <x:c r="D35" s="8" t="str">
        <x:v>1.75 mm PLA; 0.4 mm nozzle, 0.2 mm layers</x:v>
      </x:c>
      <x:c r="E35" s="11" t="n">
        <x:v>20</x:v>
      </x:c>
      <x:c r="F35" s="11" t="n">
        <x:f>IF(E35="","",B35*E35)</x:f>
        <x:v>3.2</x:v>
      </x:c>
      <x:c r="G35" s="8" t="str">
        <x:v>Estimate per kg</x:v>
      </x:c>
      <x:c r="H35" s="8" t="str">
        <x:v>Required</x:v>
      </x:c>
      <x:c r="I35" s="8" t="str">
        <x:v>One bezel, one rear shell, one matching sensor frame, one stand and one fit coupon</x:v>
      </x:c>
      <x:c r="J35" s="8" t="str">
        <x:v>https://www.prusa3d.com/category/prusament-pla/</x:v>
      </x:c>
      <x:c r="K35" s="12" t="n">
        <x:v>46271.5</x:v>
      </x:c>
    </x:row>
    <x:row r="36" ht="60" customHeight="1">
      <x:c r="A36" s="8" t="str">
        <x:v>PRINT-BEZEL</x:v>
      </x:c>
      <x:c r="B36" s="9" t="n">
        <x:v>1</x:v>
      </x:c>
      <x:c r="C36" s="8" t="str">
        <x:v>Shared front bezel</x:v>
      </x:c>
      <x:c r="D36" s="8" t="str">
        <x:v>enclosure/stl/bezel.stl</x:v>
      </x:c>
      <x:c r="E36" s="11"/>
      <x:c r="F36" s="11" t="str">
        <x:f>IF(E36="","",B36*E36)</x:f>
      </x:c>
      <x:c r="G36" s="8" t="str">
        <x:v>Included in filament</x:v>
      </x:c>
      <x:c r="H36" s="8" t="str">
        <x:v>Required</x:v>
      </x:c>
      <x:c r="I36" s="8" t="str">
        <x:v>Print flat exterior face on bed</x:v>
      </x:c>
      <x:c r="J36" s="8" t="str"/>
      <x:c r="K36" s="12" t="n">
        <x:v>46271.5</x:v>
      </x:c>
    </x:row>
    <x:row r="37" ht="60" customHeight="1">
      <x:c r="A37" s="8" t="str">
        <x:v>PRINT-REAR</x:v>
      </x:c>
      <x:c r="B37" s="9" t="n">
        <x:v>1</x:v>
      </x:c>
      <x:c r="C37" s="8" t="str">
        <x:v>Choose full or shallow rear shell</x:v>
      </x:c>
      <x:c r="D37" s="8" t="str">
        <x:v>enclosure/stl/rear_full.stl OR rear_shallow.stl</x:v>
      </x:c>
      <x:c r="E37" s="11"/>
      <x:c r="F37" s="11" t="str">
        <x:f>IF(E37="","",B37*E37)</x:f>
      </x:c>
      <x:c r="G37" s="8" t="str">
        <x:v>Included in filament</x:v>
      </x:c>
      <x:c r="H37" s="8" t="str">
        <x:v>Required</x:v>
      </x:c>
      <x:c r="I37" s="8" t="str">
        <x:v>Full required for any optional modules</x:v>
      </x:c>
      <x:c r="J37" s="8" t="str"/>
      <x:c r="K37" s="12" t="n">
        <x:v>46271.5</x:v>
      </x:c>
    </x:row>
    <x:row r="38" ht="60" customHeight="1">
      <x:c r="A38" s="8" t="str">
        <x:v>PRINT-FRAME</x:v>
      </x:c>
      <x:c r="B38" s="9" t="n">
        <x:v>1</x:v>
      </x:c>
      <x:c r="C38" s="8" t="str">
        <x:v>Choose matching removable sensor frame</x:v>
      </x:c>
      <x:c r="D38" s="8" t="str">
        <x:v>enclosure/stl/sensor_mount_full.stl OR sensor_mount_shallow.stl</x:v>
      </x:c>
      <x:c r="E38" s="11"/>
      <x:c r="F38" s="11" t="str">
        <x:f>IF(E38="","",B38*E38)</x:f>
      </x:c>
      <x:c r="G38" s="8" t="str">
        <x:v>Included in filament</x:v>
      </x:c>
      <x:c r="H38" s="8" t="str">
        <x:v>Required</x:v>
      </x:c>
      <x:c r="I38" s="8" t="str">
        <x:v>Match rear-shell depth; supplied STL is already oriented for printing</x:v>
      </x:c>
      <x:c r="J38" s="8" t="str"/>
      <x:c r="K38" s="12" t="n">
        <x:v>46271.5</x:v>
      </x:c>
    </x:row>
    <x:row r="39" ht="60" customHeight="1">
      <x:c r="A39" s="8" t="str">
        <x:v>PRINT-STAND</x:v>
      </x:c>
      <x:c r="B39" s="9" t="n">
        <x:v>1</x:v>
      </x:c>
      <x:c r="C39" s="8" t="str">
        <x:v>Desktop stand</x:v>
      </x:c>
      <x:c r="D39" s="8" t="str">
        <x:v>enclosure/stl/stand.stl</x:v>
      </x:c>
      <x:c r="E39" s="11"/>
      <x:c r="F39" s="11" t="str">
        <x:f>IF(E39="","",B39*E39)</x:f>
      </x:c>
      <x:c r="G39" s="8" t="str">
        <x:v>Included in filament</x:v>
      </x:c>
      <x:c r="H39" s="8" t="str">
        <x:v>Required</x:v>
      </x:c>
      <x:c r="I39" s="8" t="str">
        <x:v>Flat base on bed</x:v>
      </x:c>
      <x:c r="J39" s="8" t="str"/>
      <x:c r="K39" s="12" t="n">
        <x:v>46271.5</x:v>
      </x:c>
    </x:row>
    <x:row r="40" ht="60" customHeight="1">
      <x:c r="A40" s="8" t="str">
        <x:v>PRINT-COUPON</x:v>
      </x:c>
      <x:c r="B40" s="9" t="n">
        <x:v>1</x:v>
      </x:c>
      <x:c r="C40" s="8" t="str">
        <x:v>Fastener and fit coupon, two pieces</x:v>
      </x:c>
      <x:c r="D40" s="8" t="str">
        <x:v>enclosure/stl/fit_test.stl</x:v>
      </x:c>
      <x:c r="E40" s="11"/>
      <x:c r="F40" s="11" t="str">
        <x:f>IF(E40="","",B40*E40)</x:f>
      </x:c>
      <x:c r="G40" s="8" t="str">
        <x:v>Included in filament</x:v>
      </x:c>
      <x:c r="H40" s="8" t="str">
        <x:v>Required</x:v>
      </x:c>
      <x:c r="I40" s="8" t="str">
        <x:v>Print and check fits before committing to the full case</x:v>
      </x:c>
      <x:c r="J40" s="8" t="str"/>
      <x:c r="K40" s="12" t="n">
        <x:v>46271.5</x:v>
      </x:c>
    </x:row>
  </x:sheetData>
  <x:pageMargins left="0.7" right="0.7" top="0.75" bottom="0.75" header="0.3" footer="0.3"/>
  <x:tableParts count="1">
    <x:tablePart xmlns:r="http://schemas.openxmlformats.org/officeDocument/2006/relationships" r:id="Rde6ac4a6a31a468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36" hidden="0" customWidth="1"/>
    <x:col min="4" max="4" width="24" hidden="0" customWidth="1"/>
    <x:col min="5" max="5" width="34" hidden="0" customWidth="1"/>
    <x:col min="6" max="6" width="24" hidden="0" customWidth="1"/>
    <x:col min="7" max="7" width="12" hidden="0" customWidth="1"/>
    <x:col min="8" max="8" width="12" hidden="0" customWidth="1"/>
    <x:col min="9" max="9" width="25" hidden="0" customWidth="1"/>
    <x:col min="10" max="10" width="20" hidden="0" customWidth="1"/>
    <x:col min="11" max="11" width="65" hidden="0" customWidth="1"/>
    <x:col min="12" max="12" width="80" hidden="0" customWidth="1"/>
    <x:col min="13" max="13" width="14" hidden="0" customWidth="1"/>
  </x:cols>
  <x:sheetData>
    <x:row r="1">
      <x:c r="A1" s="2" t="str">
        <x:v>AirMon PCB assembly BOM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Prototype r0.1. J5 uses the socket supplied with the optional PM module. SHT40 must remain free of flux residue and coatings.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2" customHeight="1">
      <x:c r="A4" s="6" t="str">
        <x:v>References</x:v>
      </x:c>
      <x:c r="B4" s="6" t="str">
        <x:v>Qty</x:v>
      </x:c>
      <x:c r="C4" s="6" t="str">
        <x:v>Part</x:v>
      </x:c>
      <x:c r="D4" s="6" t="str">
        <x:v>Manufacturer</x:v>
      </x:c>
      <x:c r="E4" s="6" t="str">
        <x:v>MPN</x:v>
      </x:c>
      <x:c r="F4" s="6" t="str">
        <x:v>Package</x:v>
      </x:c>
      <x:c r="G4" s="6" t="str">
        <x:v>Unit USD</x:v>
      </x:c>
      <x:c r="H4" s="6" t="str">
        <x:v>Line USD</x:v>
      </x:c>
      <x:c r="I4" s="6" t="str">
        <x:v>Price basis</x:v>
      </x:c>
      <x:c r="J4" s="6" t="str">
        <x:v>Installation</x:v>
      </x:c>
      <x:c r="K4" s="6" t="str">
        <x:v>Assembly notes</x:v>
      </x:c>
      <x:c r="L4" s="6" t="str">
        <x:v>Source URL</x:v>
      </x:c>
      <x:c r="M4" s="6" t="str">
        <x:v>Date</x:v>
      </x:c>
    </x:row>
    <x:row r="5" ht="60" customHeight="1">
      <x:c r="A5" s="8" t="str">
        <x:v>U1</x:v>
      </x:c>
      <x:c r="B5" s="9" t="n">
        <x:v>1</x:v>
      </x:c>
      <x:c r="C5" s="8" t="str">
        <x:v>3.3 V 600 mA LDO</x:v>
      </x:c>
      <x:c r="D5" s="8" t="str">
        <x:v>Diodes Incorporated</x:v>
      </x:c>
      <x:c r="E5" s="8" t="str">
        <x:v>AP2112K-3.3TRG1</x:v>
      </x:c>
      <x:c r="F5" s="8" t="str">
        <x:v>SOT-23-5</x:v>
      </x:c>
      <x:c r="G5" s="11" t="n">
        <x:v>0.45</x:v>
      </x:c>
      <x:c r="H5" s="11" t="n">
        <x:f>IF(G5="","",B5*G5)</x:f>
        <x:v>0.45</x:v>
      </x:c>
      <x:c r="I5" s="8" t="str">
        <x:v>Estimate</x:v>
      </x:c>
      <x:c r="J5" s="8" t="str">
        <x:v>Required</x:v>
      </x:c>
      <x:c r="K5" s="8" t="str">
        <x:v>SMT bottom</x:v>
      </x:c>
      <x:c r="L5" s="8" t="str">
        <x:v>https://www.diodes.com/assets/Datasheets/AP2112.pdf</x:v>
      </x:c>
      <x:c r="M5" s="12" t="n">
        <x:v>46271.5</x:v>
      </x:c>
    </x:row>
    <x:row r="6" ht="60" customHeight="1">
      <x:c r="A6" s="8" t="str">
        <x:v>U2</x:v>
      </x:c>
      <x:c r="B6" s="9" t="n">
        <x:v>1</x:v>
      </x:c>
      <x:c r="C6" s="8" t="str">
        <x:v>Temperature and humidity</x:v>
      </x:c>
      <x:c r="D6" s="8" t="str">
        <x:v>Sensirion</x:v>
      </x:c>
      <x:c r="E6" s="8" t="str">
        <x:v>SHT40-AD1B-R2</x:v>
      </x:c>
      <x:c r="F6" s="8" t="str">
        <x:v>DFN-4 1.5 x 1.5 mm</x:v>
      </x:c>
      <x:c r="G6" s="11" t="n">
        <x:v>3.5</x:v>
      </x:c>
      <x:c r="H6" s="11" t="n">
        <x:f>IF(G6="","",B6*G6)</x:f>
        <x:v>3.5</x:v>
      </x:c>
      <x:c r="I6" s="8" t="str">
        <x:v>Estimate</x:v>
      </x:c>
      <x:c r="J6" s="8" t="str">
        <x:v>Required</x:v>
      </x:c>
      <x:c r="K6" s="8" t="str">
        <x:v>SMT top; no wash or coating over sensor</x:v>
      </x:c>
      <x:c r="L6" s="8" t="str">
        <x:v>https://sensirion.com/products/catalog/SHT40</x:v>
      </x:c>
      <x:c r="M6" s="12" t="n">
        <x:v>46271.5</x:v>
      </x:c>
    </x:row>
    <x:row r="7" ht="60" customHeight="1">
      <x:c r="A7" s="8" t="str">
        <x:v>Q1</x:v>
      </x:c>
      <x:c r="B7" s="9" t="n">
        <x:v>1</x:v>
      </x:c>
      <x:c r="C7" s="8" t="str">
        <x:v>Reverse input polarity MOSFET</x:v>
      </x:c>
      <x:c r="D7" s="8" t="str">
        <x:v>Alpha &amp; Omega</x:v>
      </x:c>
      <x:c r="E7" s="8" t="str">
        <x:v>AO3401A</x:v>
      </x:c>
      <x:c r="F7" s="8" t="str">
        <x:v>SOT-23</x:v>
      </x:c>
      <x:c r="G7" s="11" t="n">
        <x:v>0.25</x:v>
      </x:c>
      <x:c r="H7" s="11" t="n">
        <x:f>IF(G7="","",B7*G7)</x:f>
        <x:v>0.25</x:v>
      </x:c>
      <x:c r="I7" s="8" t="str">
        <x:v>Estimate</x:v>
      </x:c>
      <x:c r="J7" s="8" t="str">
        <x:v>Required</x:v>
      </x:c>
      <x:c r="K7" s="8" t="str">
        <x:v>SMT bottom; source faces protected rail</x:v>
      </x:c>
      <x:c r="L7" s="8" t="str">
        <x:v>https://www.aosmd.com/products/mosfets/low-voltage-mosfets-12v-30v/ao3401a</x:v>
      </x:c>
      <x:c r="M7" s="12" t="n">
        <x:v>46271.5</x:v>
      </x:c>
    </x:row>
    <x:row r="8" ht="60" customHeight="1">
      <x:c r="A8" s="8" t="str">
        <x:v>F1</x:v>
      </x:c>
      <x:c r="B8" s="9" t="n">
        <x:v>1</x:v>
      </x:c>
      <x:c r="C8" s="8" t="str">
        <x:v>1 A resettable fuse</x:v>
      </x:c>
      <x:c r="D8" s="8" t="str">
        <x:v>Littelfuse</x:v>
      </x:c>
      <x:c r="E8" s="8" t="str">
        <x:v>1206L100/16YR</x:v>
      </x:c>
      <x:c r="F8" s="8" t="str">
        <x:v>1206</x:v>
      </x:c>
      <x:c r="G8" s="11" t="n">
        <x:v>0.8</x:v>
      </x:c>
      <x:c r="H8" s="11" t="n">
        <x:f>IF(G8="","",B8*G8)</x:f>
        <x:v>0.8</x:v>
      </x:c>
      <x:c r="I8" s="8" t="str">
        <x:v>Estimate</x:v>
      </x:c>
      <x:c r="J8" s="8" t="str">
        <x:v>Required</x:v>
      </x:c>
      <x:c r="K8" s="8" t="str">
        <x:v>SMT bottom</x:v>
      </x:c>
      <x:c r="L8" s="8" t="str">
        <x:v>https://www.littelfuse.com/products/polyswitch-resettable-pptcs/surface-mount/1206l.aspx</x:v>
      </x:c>
      <x:c r="M8" s="12" t="n">
        <x:v>46271.5</x:v>
      </x:c>
    </x:row>
    <x:row r="9" ht="60" customHeight="1">
      <x:c r="A9" s="8" t="str">
        <x:v>D1</x:v>
      </x:c>
      <x:c r="B9" s="9" t="n">
        <x:v>1</x:v>
      </x:c>
      <x:c r="C9" s="8" t="str">
        <x:v>5 V transient suppressor</x:v>
      </x:c>
      <x:c r="D9" s="8" t="str">
        <x:v>Littelfuse</x:v>
      </x:c>
      <x:c r="E9" s="8" t="str">
        <x:v>SMF5.0A</x:v>
      </x:c>
      <x:c r="F9" s="8" t="str">
        <x:v>SOD-123F</x:v>
      </x:c>
      <x:c r="G9" s="11" t="n">
        <x:v>0.4</x:v>
      </x:c>
      <x:c r="H9" s="11" t="n">
        <x:f>IF(G9="","",B9*G9)</x:f>
        <x:v>0.4</x:v>
      </x:c>
      <x:c r="I9" s="8" t="str">
        <x:v>Estimate</x:v>
      </x:c>
      <x:c r="J9" s="8" t="str">
        <x:v>Required</x:v>
      </x:c>
      <x:c r="K9" s="8" t="str">
        <x:v>SMT bottom; cathode to SENSOR5V</x:v>
      </x:c>
      <x:c r="L9" s="8" t="str">
        <x:v>https://www.digikey.com/en/products/detail/littelfuse-inc/SMF5-0A/3429605</x:v>
      </x:c>
      <x:c r="M9" s="12" t="n">
        <x:v>46271.5</x:v>
      </x:c>
    </x:row>
    <x:row r="10" ht="60" customHeight="1">
      <x:c r="A10" s="8" t="str">
        <x:v>C1</x:v>
      </x:c>
      <x:c r="B10" s="9" t="n">
        <x:v>1</x:v>
      </x:c>
      <x:c r="C10" s="8" t="str">
        <x:v>47 uF 10 V X5R bulk capacitor</x:v>
      </x:c>
      <x:c r="D10" s="8" t="str">
        <x:v>Murata</x:v>
      </x:c>
      <x:c r="E10" s="8" t="str">
        <x:v>GRM32ER61A476KE20L</x:v>
      </x:c>
      <x:c r="F10" s="8" t="str">
        <x:v>1210</x:v>
      </x:c>
      <x:c r="G10" s="11" t="n">
        <x:v>0.85</x:v>
      </x:c>
      <x:c r="H10" s="11" t="n">
        <x:f>IF(G10="","",B10*G10)</x:f>
        <x:v>0.85</x:v>
      </x:c>
      <x:c r="I10" s="8" t="str">
        <x:v>Estimate</x:v>
      </x:c>
      <x:c r="J10" s="8" t="str">
        <x:v>Required</x:v>
      </x:c>
      <x:c r="K10" s="8" t="str">
        <x:v>SMT bottom</x:v>
      </x:c>
      <x:c r="L10" s="8" t="str">
        <x:v>https://www.murata.com/en-us/products/productdetail?partno=GRM32ER61A476KE20L</x:v>
      </x:c>
      <x:c r="M10" s="12" t="n">
        <x:v>46271.5</x:v>
      </x:c>
    </x:row>
    <x:row r="11" ht="60" customHeight="1">
      <x:c r="A11" s="8" t="str">
        <x:v>C2</x:v>
      </x:c>
      <x:c r="B11" s="9" t="n">
        <x:v>1</x:v>
      </x:c>
      <x:c r="C11" s="8" t="str">
        <x:v>4.7 uF 10 V X5R input capacitor</x:v>
      </x:c>
      <x:c r="D11" s="8" t="str">
        <x:v>Murata</x:v>
      </x:c>
      <x:c r="E11" s="8" t="str">
        <x:v>GRM188R61A475KE15D</x:v>
      </x:c>
      <x:c r="F11" s="8" t="str">
        <x:v>0603</x:v>
      </x:c>
      <x:c r="G11" s="11" t="n">
        <x:v>0.15</x:v>
      </x:c>
      <x:c r="H11" s="11" t="n">
        <x:f>IF(G11="","",B11*G11)</x:f>
        <x:v>0.15</x:v>
      </x:c>
      <x:c r="I11" s="8" t="str">
        <x:v>Estimate</x:v>
      </x:c>
      <x:c r="J11" s="8" t="str">
        <x:v>Required</x:v>
      </x:c>
      <x:c r="K11" s="8" t="str">
        <x:v>SMT bottom</x:v>
      </x:c>
      <x:c r="L11" s="8" t="str">
        <x:v>https://www.murata.com/en-us/products/productdetail?partno=GRM188R61A475KE15D</x:v>
      </x:c>
      <x:c r="M11" s="12" t="n">
        <x:v>46271.5</x:v>
      </x:c>
    </x:row>
    <x:row r="12" ht="60" customHeight="1">
      <x:c r="A12" s="8" t="str">
        <x:v>C3</x:v>
      </x:c>
      <x:c r="B12" s="9" t="n">
        <x:v>1</x:v>
      </x:c>
      <x:c r="C12" s="8" t="str">
        <x:v>10 uF 10 V X5R output capacitor</x:v>
      </x:c>
      <x:c r="D12" s="8" t="str">
        <x:v>Murata</x:v>
      </x:c>
      <x:c r="E12" s="8" t="str">
        <x:v>GRM188R61A106KE69D</x:v>
      </x:c>
      <x:c r="F12" s="8" t="str">
        <x:v>0603</x:v>
      </x:c>
      <x:c r="G12" s="11" t="n">
        <x:v>0.2</x:v>
      </x:c>
      <x:c r="H12" s="11" t="n">
        <x:f>IF(G12="","",B12*G12)</x:f>
        <x:v>0.2</x:v>
      </x:c>
      <x:c r="I12" s="8" t="str">
        <x:v>Estimate</x:v>
      </x:c>
      <x:c r="J12" s="8" t="str">
        <x:v>Required</x:v>
      </x:c>
      <x:c r="K12" s="8" t="str">
        <x:v>SMT bottom</x:v>
      </x:c>
      <x:c r="L12" s="8" t="str">
        <x:v>https://www.murata.com/en-us/products/productdetail?partno=GRM188R61A106KE69D</x:v>
      </x:c>
      <x:c r="M12" s="12" t="n">
        <x:v>46271.5</x:v>
      </x:c>
    </x:row>
    <x:row r="13" ht="60" customHeight="1">
      <x:c r="A13" s="8" t="str">
        <x:v>C4</x:v>
      </x:c>
      <x:c r="B13" s="9" t="n">
        <x:v>1</x:v>
      </x:c>
      <x:c r="C13" s="8" t="str">
        <x:v>100 nF 16 V X7R bypass capacitor</x:v>
      </x:c>
      <x:c r="D13" s="8" t="str">
        <x:v>Murata</x:v>
      </x:c>
      <x:c r="E13" s="8" t="str">
        <x:v>GRM188R71C104KA01D</x:v>
      </x:c>
      <x:c r="F13" s="8" t="str">
        <x:v>0603</x:v>
      </x:c>
      <x:c r="G13" s="11" t="n">
        <x:v>0.05</x:v>
      </x:c>
      <x:c r="H13" s="11" t="n">
        <x:f>IF(G13="","",B13*G13)</x:f>
        <x:v>0.05</x:v>
      </x:c>
      <x:c r="I13" s="8" t="str">
        <x:v>Estimate</x:v>
      </x:c>
      <x:c r="J13" s="8" t="str">
        <x:v>Required</x:v>
      </x:c>
      <x:c r="K13" s="8" t="str">
        <x:v>SMT top</x:v>
      </x:c>
      <x:c r="L13" s="8" t="str">
        <x:v>https://www.murata.com/en-us/products/productdetail?partno=GRM188R71C104KA01D</x:v>
      </x:c>
      <x:c r="M13" s="12" t="n">
        <x:v>46271.5</x:v>
      </x:c>
    </x:row>
    <x:row r="14" ht="60" customHeight="1">
      <x:c r="A14" s="8" t="str">
        <x:v>R1 R2</x:v>
      </x:c>
      <x:c r="B14" s="9" t="n">
        <x:v>2</x:v>
      </x:c>
      <x:c r="C14" s="8" t="str">
        <x:v>4.7 kohm 1% I2C pull-up</x:v>
      </x:c>
      <x:c r="D14" s="8" t="str">
        <x:v>Yageo</x:v>
      </x:c>
      <x:c r="E14" s="8" t="str">
        <x:v>RC0603FR-074K7L</x:v>
      </x:c>
      <x:c r="F14" s="8" t="str">
        <x:v>0603</x:v>
      </x:c>
      <x:c r="G14" s="11" t="n">
        <x:v>0.03</x:v>
      </x:c>
      <x:c r="H14" s="11" t="n">
        <x:f>IF(G14="","",B14*G14)</x:f>
        <x:v>0.06</x:v>
      </x:c>
      <x:c r="I14" s="8" t="str">
        <x:v>Estimate</x:v>
      </x:c>
      <x:c r="J14" s="8" t="str">
        <x:v>Required</x:v>
      </x:c>
      <x:c r="K14" s="8" t="str">
        <x:v>SMT bottom</x:v>
      </x:c>
      <x:c r="L14" s="8" t="str">
        <x:v>https://www.yageo.com/en/ProductSearch</x:v>
      </x:c>
      <x:c r="M14" s="12" t="n">
        <x:v>46271.5</x:v>
      </x:c>
    </x:row>
    <x:row r="15" ht="60" customHeight="1">
      <x:c r="A15" s="8" t="str">
        <x:v>R3 R4</x:v>
      </x:c>
      <x:c r="B15" s="9" t="n">
        <x:v>2</x:v>
      </x:c>
      <x:c r="C15" s="8" t="str">
        <x:v>10 kohm 1% PM control pull-up</x:v>
      </x:c>
      <x:c r="D15" s="8" t="str">
        <x:v>Yageo</x:v>
      </x:c>
      <x:c r="E15" s="8" t="str">
        <x:v>RC0603FR-0710KL</x:v>
      </x:c>
      <x:c r="F15" s="8" t="str">
        <x:v>0603</x:v>
      </x:c>
      <x:c r="G15" s="11" t="n">
        <x:v>0.03</x:v>
      </x:c>
      <x:c r="H15" s="11" t="n">
        <x:f>IF(G15="","",B15*G15)</x:f>
        <x:v>0.06</x:v>
      </x:c>
      <x:c r="I15" s="8" t="str">
        <x:v>Estimate</x:v>
      </x:c>
      <x:c r="J15" s="8" t="str">
        <x:v>Required</x:v>
      </x:c>
      <x:c r="K15" s="8" t="str">
        <x:v>SMT bottom</x:v>
      </x:c>
      <x:c r="L15" s="8" t="str">
        <x:v>https://www.yageo.com/en/ProductSearch</x:v>
      </x:c>
      <x:c r="M15" s="12" t="n">
        <x:v>46271.5</x:v>
      </x:c>
    </x:row>
    <x:row r="16" ht="60" customHeight="1">
      <x:c r="A16" s="8" t="str">
        <x:v>J1 J2</x:v>
      </x:c>
      <x:c r="B16" s="9" t="n">
        <x:v>2</x:v>
      </x:c>
      <x:c r="C16" s="8" t="str">
        <x:v>Keyed 2-pin power / I2C connector</x:v>
      </x:c>
      <x:c r="D16" s="8" t="str">
        <x:v>JST</x:v>
      </x:c>
      <x:c r="E16" s="8" t="str">
        <x:v>B2B-PH-K-S(LF)(SN)</x:v>
      </x:c>
      <x:c r="F16" s="8" t="str">
        <x:v>PH 2.00 mm vertical THT</x:v>
      </x:c>
      <x:c r="G16" s="11" t="n">
        <x:v>0.5</x:v>
      </x:c>
      <x:c r="H16" s="11" t="n">
        <x:f>IF(G16="","",B16*G16)</x:f>
        <x:v>1</x:v>
      </x:c>
      <x:c r="I16" s="8" t="str">
        <x:v>Estimate</x:v>
      </x:c>
      <x:c r="J16" s="8" t="str">
        <x:v>Required</x:v>
      </x:c>
      <x:c r="K16" s="8" t="str">
        <x:v>Through-hole bottom; quote THT assembly separately</x:v>
      </x:c>
      <x:c r="L16" s="8" t="str">
        <x:v>https://www.jst-mfg.com/product/index.php?series=199</x:v>
      </x:c>
      <x:c r="M16" s="12" t="n">
        <x:v>46271.5</x:v>
      </x:c>
    </x:row>
    <x:row r="17" ht="60" customHeight="1">
      <x:c r="A17" s="8" t="str">
        <x:v>J3 J4</x:v>
      </x:c>
      <x:c r="B17" s="9" t="n">
        <x:v>2</x:v>
      </x:c>
      <x:c r="C17" s="8" t="str">
        <x:v>STEMMA QT / Qwiic socket</x:v>
      </x:c>
      <x:c r="D17" s="8" t="str">
        <x:v>JST</x:v>
      </x:c>
      <x:c r="E17" s="8" t="str">
        <x:v>SM04B-SRSS-TB(LF)(SN)</x:v>
      </x:c>
      <x:c r="F17" s="8" t="str">
        <x:v>SH 1.00 mm horizontal SMT</x:v>
      </x:c>
      <x:c r="G17" s="11" t="n">
        <x:v>0.7</x:v>
      </x:c>
      <x:c r="H17" s="11" t="n">
        <x:f>IF(G17="","",B17*G17)</x:f>
        <x:v>1.4</x:v>
      </x:c>
      <x:c r="I17" s="8" t="str">
        <x:v>Estimate</x:v>
      </x:c>
      <x:c r="J17" s="8" t="str">
        <x:v>Required</x:v>
      </x:c>
      <x:c r="K17" s="8" t="str">
        <x:v>SMT bottom; pin 1 GND, 2 3V3, 3 SDA, 4 SCL</x:v>
      </x:c>
      <x:c r="L17" s="8" t="str">
        <x:v>https://www.jst-mfg.com/product/index.php?series=231</x:v>
      </x:c>
      <x:c r="M17" s="12" t="n">
        <x:v>46271.5</x:v>
      </x:c>
    </x:row>
    <x:row r="18" ht="60" customHeight="1">
      <x:c r="A18" s="8" t="str">
        <x:v>J5</x:v>
      </x:c>
      <x:c r="B18" s="9" t="n">
        <x:v>1</x:v>
      </x:c>
      <x:c r="C18" s="8" t="str">
        <x:v>PMSA003I paired mating socket</x:v>
      </x:c>
      <x:c r="D18" s="8" t="str">
        <x:v>Supplied with module</x:v>
      </x:c>
      <x:c r="E18" s="8" t="str">
        <x:v>Adafruit 4505 supplied socket</x:v>
      </x:c>
      <x:c r="F18" s="8" t="str">
        <x:v>2 x 5 1.27 mm SMT</x:v>
      </x:c>
      <x:c r="G18" s="11"/>
      <x:c r="H18" s="11" t="str">
        <x:f>IF(G18="","",B18*G18)</x:f>
      </x:c>
      <x:c r="I18" s="8" t="str">
        <x:v>Included in optional module kit</x:v>
      </x:c>
      <x:c r="J18" s="8" t="str">
        <x:v>Optional PM</x:v>
      </x:c>
      <x:c r="K18" s="8" t="str">
        <x:v>Consigned or hand-installed socket; verify land pattern against supplied part</x:v>
      </x:c>
      <x:c r="L18" s="8" t="str">
        <x:v>https://www.adafruit.com/product/4505</x:v>
      </x:c>
      <x:c r="M18" s="12" t="n">
        <x:v>46271.5</x:v>
      </x:c>
    </x:row>
  </x:sheetData>
  <x:pageMargins left="0.7" right="0.7" top="0.75" bottom="0.75" header="0.3" footer="0.3"/>
  <x:tableParts count="1">
    <x:tablePart xmlns:r="http://schemas.openxmlformats.org/officeDocument/2006/relationships" r:id="R3357b2ce736d43be"/>
  </x:tableParts>
</x:worksheet>
</file>